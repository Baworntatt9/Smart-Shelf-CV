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Tracker" sheetId="1" state="visible" r:id="rId3"/>
    <sheet name="Role Summary" sheetId="2" state="visible" r:id="rId4"/>
    <sheet name="Risk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<sst xmlns="http://schemas.openxmlformats.org/spreadsheetml/2006/main" count="119" uniqueCount="75">
  <si>
    <t xml:space="preserve">Smart Shelf CV Demo — 7-Day Task Tracker</t>
  </si>
  <si>
    <t xml:space="preserve">Day</t>
  </si>
  <si>
    <t xml:space="preserve">Owner</t>
  </si>
  <si>
    <t xml:space="preserve">Task</t>
  </si>
  <si>
    <t xml:space="preserve">Status</t>
  </si>
  <si>
    <t xml:space="preserve">Start Date</t>
  </si>
  <si>
    <t xml:space="preserve">End Date</t>
  </si>
  <si>
    <t xml:space="preserve">Blocker/Note</t>
  </si>
  <si>
    <t xml:space="preserve">Checkpoint</t>
  </si>
  <si>
    <t xml:space="preserve">AI Eng 1</t>
  </si>
  <si>
    <t xml:space="preserve">หา dataset (SKU-110k หรือถ่ายเอง 20-30 รูป)</t>
  </si>
  <si>
    <t xml:space="preserve">To Do</t>
  </si>
  <si>
    <t xml:space="preserve">มี dataset พร้อมใช้</t>
  </si>
  <si>
    <t xml:space="preserve">ติดตั้ง YOLOv8 และทดสอบ pre-trained model เบื้องต้น</t>
  </si>
  <si>
    <t xml:space="preserve">AI Eng 2</t>
  </si>
  <si>
    <t xml:space="preserve">ออกแบบ planogram format (JSON)</t>
  </si>
  <si>
    <t xml:space="preserve">มี planogram format</t>
  </si>
  <si>
    <t xml:space="preserve">เตรียม labeling tool (Roboflow/LabelImg), จำกัดสินค้า 3-5 ประเภท</t>
  </si>
  <si>
    <t xml:space="preserve">Software Eng</t>
  </si>
  <si>
    <t xml:space="preserve">Setup FastAPI project + endpoint โครงร่าง</t>
  </si>
  <si>
    <t xml:space="preserve">Project skeleton รันได้</t>
  </si>
  <si>
    <t xml:space="preserve">Setup frontend โครงร่าง (หน้าอัปโหลดรูป)</t>
  </si>
  <si>
    <t xml:space="preserve">Fine-tune YOLOv8 จาก pre-trained weight</t>
  </si>
  <si>
    <t xml:space="preserve">เขียนฟังก์ชันแปลง bounding box → grid position</t>
  </si>
  <si>
    <t xml:space="preserve">ทำ endpoint เชื่อมโมเดลจริง (รับรูป→inference→คืนผล)</t>
  </si>
  <si>
    <t xml:space="preserve">เก็บผล mAP, ดู class ที่ detect พลาด, ปรับปรุงโมเดล</t>
  </si>
  <si>
    <t xml:space="preserve">โมเดล detect ได้ระดับใช้งานได้</t>
  </si>
  <si>
    <t xml:space="preserve">เขียน matching logic (ตรง/ขาด/ผิดตำแหน่ง)</t>
  </si>
  <si>
    <t xml:space="preserve">Matching logic พร้อมใช้</t>
  </si>
  <si>
    <t xml:space="preserve">เริ่มหน้าแสดงผล (bounding box overlay)</t>
  </si>
  <si>
    <t xml:space="preserve">Endpoint คืนผล detection ดิบได้</t>
  </si>
  <si>
    <t xml:space="preserve">ส่งโมเดลที่เทรนเสร็จให้ Software Eng</t>
  </si>
  <si>
    <t xml:space="preserve">ใส่ matching logic เข้า pipeline ต่อจากผล detection</t>
  </si>
  <si>
    <t xml:space="preserve">เชื่อม frontend-backend เบื้องต้น</t>
  </si>
  <si>
    <t xml:space="preserve">ทีม</t>
  </si>
  <si>
    <t xml:space="preserve">Integration testing ครบ flow end-to-end</t>
  </si>
  <si>
    <t xml:space="preserve">Flow เต็มรูปแบบทำงานได้ 1 รอบ</t>
  </si>
  <si>
    <t xml:space="preserve">AI Eng 1 + 2</t>
  </si>
  <si>
    <t xml:space="preserve">ทดสอบกับรูปจริงหลายสภาพ (แสง/มุมกล้อง), แก้บั๊ก</t>
  </si>
  <si>
    <t xml:space="preserve">ปรับ UI ให้อ่านง่าย (สีเขียว/แดง)</t>
  </si>
  <si>
    <t xml:space="preserve">ระบบเสถียรพอสำหรับ demo</t>
  </si>
  <si>
    <t xml:space="preserve">เลือกรูปทดสอบที่ demo ออกมาดี</t>
  </si>
  <si>
    <t xml:space="preserve">เตรียม 1 เคส "จงใจทำผิด" โชว์ความสามารถระบบ</t>
  </si>
  <si>
    <t xml:space="preserve">เตรียม slide อธิบาย pipeline</t>
  </si>
  <si>
    <t xml:space="preserve">Dry run demo ทั้งทีม</t>
  </si>
  <si>
    <t xml:space="preserve">พร้อม demo จริง</t>
  </si>
  <si>
    <t xml:space="preserve">สรุปบทบาทและความรับผิดชอบ</t>
  </si>
  <si>
    <t xml:space="preserve">บทบาท</t>
  </si>
  <si>
    <t xml:space="preserve">ผู้รับผิดชอบหลัก</t>
  </si>
  <si>
    <t xml:space="preserve">งานหลัก</t>
  </si>
  <si>
    <t xml:space="preserve">จำนวนงาน</t>
  </si>
  <si>
    <t xml:space="preserve">Object Detection</t>
  </si>
  <si>
    <t xml:space="preserve">หา/เตรียม dataset, เทรน/fine-tune โมเดล YOLO</t>
  </si>
  <si>
    <t xml:space="preserve">Matching Logic + Evaluation</t>
  </si>
  <si>
    <t xml:space="preserve">แปลงผล detection เป็น grid, เทียบกับ planogram, วัด metrics</t>
  </si>
  <si>
    <t xml:space="preserve">Backend + Dashboard</t>
  </si>
  <si>
    <t xml:space="preserve">API, เชื่อมโมเดล, หน้าแสดงผล</t>
  </si>
  <si>
    <t xml:space="preserve">สรุปความคืบหน้ารวม</t>
  </si>
  <si>
    <t xml:space="preserve">Total Tasks</t>
  </si>
  <si>
    <t xml:space="preserve">Done</t>
  </si>
  <si>
    <t xml:space="preserve">In Progress</t>
  </si>
  <si>
    <t xml:space="preserve">Blocked</t>
  </si>
  <si>
    <t xml:space="preserve">% Complete</t>
  </si>
  <si>
    <t xml:space="preserve">แผนสำรอง (Risk Mitigation)</t>
  </si>
  <si>
    <t xml:space="preserve">ความเสี่ยง</t>
  </si>
  <si>
    <t xml:space="preserve">แผนสำรอง</t>
  </si>
  <si>
    <t xml:space="preserve">สถานะ (เกิดขึ้นจริงไหม)</t>
  </si>
  <si>
    <t xml:space="preserve">หมายเหตุ</t>
  </si>
  <si>
    <t xml:space="preserve">Fine-tune ไม่ทัน</t>
  </si>
  <si>
    <t xml:space="preserve">ใช้ pre-trained YOLO (COCO classes) ตรวจแค่ "มีวัตถุในช่องไหม" แทนระบุชนิดสินค้า</t>
  </si>
  <si>
    <t xml:space="preserve">ยังไม่เกิด</t>
  </si>
  <si>
    <t xml:space="preserve">Dataset ไม่พอ</t>
  </si>
  <si>
    <t xml:space="preserve">ใช้ dataset สาธารณะ (SKU-110k, Grocery Store Dataset) แทนถ่ายเอง</t>
  </si>
  <si>
    <t xml:space="preserve">AI Eng 2 งานเบาช่วงแรก</t>
  </si>
  <si>
    <t xml:space="preserve">ช่วย AI Eng 1 เตรียม/label data ในวัน 1-2 ก่อนเริ่มงานตัวเองในวัน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</si>
</sst>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59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6" min="4" style="0" width="12"/>
    <col collapsed="false" customWidth="true" hidden="false" outlineLevel="0" max="7" min="7" style="0" width="26"/>
    <col collapsed="false" customWidth="true" hidden="false" outlineLevel="0" max="8" min="8" style="0" width="3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n">
        <v>1</v>
      </c>
      <c r="B4" s="3" t="s">
        <v>9</v>
      </c>
      <c r="C4" s="4" t="s">
        <v>10</v>
      </c>
      <c r="D4" s="5" t="s">
        <v>11</v>
      </c>
      <c r="E4" s="3"/>
      <c r="F4" s="3"/>
      <c r="G4" s="4"/>
      <c r="H4" s="4" t="s">
        <v>12</v>
      </c>
    </row>
    <row r="5" customFormat="false" ht="15" hidden="false" customHeight="false" outlineLevel="0" collapsed="false">
      <c r="A5" s="3" t="n">
        <v>1</v>
      </c>
      <c r="B5" s="3" t="s">
        <v>9</v>
      </c>
      <c r="C5" s="4" t="s">
        <v>13</v>
      </c>
      <c r="D5" s="5" t="s">
        <v>11</v>
      </c>
      <c r="E5" s="3"/>
      <c r="F5" s="3"/>
      <c r="G5" s="4"/>
      <c r="H5" s="4"/>
    </row>
    <row r="6" customFormat="false" ht="15" hidden="false" customHeight="false" outlineLevel="0" collapsed="false">
      <c r="A6" s="3" t="n">
        <v>1</v>
      </c>
      <c r="B6" s="3" t="s">
        <v>14</v>
      </c>
      <c r="C6" s="4" t="s">
        <v>15</v>
      </c>
      <c r="D6" s="5" t="s">
        <v>11</v>
      </c>
      <c r="E6" s="3"/>
      <c r="F6" s="3"/>
      <c r="G6" s="4"/>
      <c r="H6" s="4" t="s">
        <v>16</v>
      </c>
    </row>
    <row r="7" customFormat="false" ht="23.85" hidden="false" customHeight="false" outlineLevel="0" collapsed="false">
      <c r="A7" s="3" t="n">
        <v>1</v>
      </c>
      <c r="B7" s="3" t="s">
        <v>14</v>
      </c>
      <c r="C7" s="4" t="s">
        <v>17</v>
      </c>
      <c r="D7" s="5" t="s">
        <v>11</v>
      </c>
      <c r="E7" s="3"/>
      <c r="F7" s="3"/>
      <c r="G7" s="4"/>
      <c r="H7" s="4"/>
    </row>
    <row r="8" customFormat="false" ht="15" hidden="false" customHeight="false" outlineLevel="0" collapsed="false">
      <c r="A8" s="3" t="n">
        <v>1</v>
      </c>
      <c r="B8" s="3" t="s">
        <v>18</v>
      </c>
      <c r="C8" s="4" t="s">
        <v>19</v>
      </c>
      <c r="D8" s="5" t="s">
        <v>11</v>
      </c>
      <c r="E8" s="3"/>
      <c r="F8" s="3"/>
      <c r="G8" s="4"/>
      <c r="H8" s="4" t="s">
        <v>20</v>
      </c>
    </row>
    <row r="9" customFormat="false" ht="15" hidden="false" customHeight="false" outlineLevel="0" collapsed="false">
      <c r="A9" s="3" t="n">
        <v>1</v>
      </c>
      <c r="B9" s="3" t="s">
        <v>18</v>
      </c>
      <c r="C9" s="4" t="s">
        <v>21</v>
      </c>
      <c r="D9" s="5" t="s">
        <v>11</v>
      </c>
      <c r="E9" s="3"/>
      <c r="F9" s="3"/>
      <c r="G9" s="4"/>
      <c r="H9" s="4"/>
    </row>
    <row r="10" customFormat="false" ht="15" hidden="false" customHeight="false" outlineLevel="0" collapsed="false">
      <c r="A10" s="3" t="n">
        <v>2</v>
      </c>
      <c r="B10" s="3" t="s">
        <v>9</v>
      </c>
      <c r="C10" s="4" t="s">
        <v>22</v>
      </c>
      <c r="D10" s="5" t="s">
        <v>11</v>
      </c>
      <c r="E10" s="3"/>
      <c r="F10" s="3"/>
      <c r="G10" s="4"/>
      <c r="H10" s="4"/>
    </row>
    <row r="11" customFormat="false" ht="15" hidden="false" customHeight="false" outlineLevel="0" collapsed="false">
      <c r="A11" s="3" t="n">
        <v>2</v>
      </c>
      <c r="B11" s="3" t="s">
        <v>14</v>
      </c>
      <c r="C11" s="4" t="s">
        <v>23</v>
      </c>
      <c r="D11" s="5" t="s">
        <v>11</v>
      </c>
      <c r="E11" s="3"/>
      <c r="F11" s="3"/>
      <c r="G11" s="4"/>
      <c r="H11" s="4"/>
    </row>
    <row r="12" customFormat="false" ht="15" hidden="false" customHeight="false" outlineLevel="0" collapsed="false">
      <c r="A12" s="3" t="n">
        <v>2</v>
      </c>
      <c r="B12" s="3" t="s">
        <v>18</v>
      </c>
      <c r="C12" s="4" t="s">
        <v>24</v>
      </c>
      <c r="D12" s="5" t="s">
        <v>11</v>
      </c>
      <c r="E12" s="3"/>
      <c r="F12" s="3"/>
      <c r="G12" s="4"/>
      <c r="H12" s="4"/>
    </row>
    <row r="13" customFormat="false" ht="15" hidden="false" customHeight="false" outlineLevel="0" collapsed="false">
      <c r="A13" s="3" t="n">
        <v>3</v>
      </c>
      <c r="B13" s="3" t="s">
        <v>9</v>
      </c>
      <c r="C13" s="4" t="s">
        <v>25</v>
      </c>
      <c r="D13" s="5" t="s">
        <v>11</v>
      </c>
      <c r="E13" s="3"/>
      <c r="F13" s="3"/>
      <c r="G13" s="4"/>
      <c r="H13" s="4" t="s">
        <v>26</v>
      </c>
    </row>
    <row r="14" customFormat="false" ht="15" hidden="false" customHeight="false" outlineLevel="0" collapsed="false">
      <c r="A14" s="3" t="n">
        <v>3</v>
      </c>
      <c r="B14" s="3" t="s">
        <v>14</v>
      </c>
      <c r="C14" s="4" t="s">
        <v>27</v>
      </c>
      <c r="D14" s="5" t="s">
        <v>11</v>
      </c>
      <c r="E14" s="3"/>
      <c r="F14" s="3"/>
      <c r="G14" s="4"/>
      <c r="H14" s="4" t="s">
        <v>28</v>
      </c>
    </row>
    <row r="15" customFormat="false" ht="15" hidden="false" customHeight="false" outlineLevel="0" collapsed="false">
      <c r="A15" s="3" t="n">
        <v>3</v>
      </c>
      <c r="B15" s="3" t="s">
        <v>18</v>
      </c>
      <c r="C15" s="4" t="s">
        <v>29</v>
      </c>
      <c r="D15" s="5" t="s">
        <v>11</v>
      </c>
      <c r="E15" s="3"/>
      <c r="F15" s="3"/>
      <c r="G15" s="4"/>
      <c r="H15" s="4" t="s">
        <v>30</v>
      </c>
    </row>
    <row r="16" customFormat="false" ht="15" hidden="false" customHeight="false" outlineLevel="0" collapsed="false">
      <c r="A16" s="3" t="n">
        <v>4</v>
      </c>
      <c r="B16" s="3" t="s">
        <v>9</v>
      </c>
      <c r="C16" s="4" t="s">
        <v>31</v>
      </c>
      <c r="D16" s="5" t="s">
        <v>11</v>
      </c>
      <c r="E16" s="3"/>
      <c r="F16" s="3"/>
      <c r="G16" s="4"/>
      <c r="H16" s="4"/>
    </row>
    <row r="17" customFormat="false" ht="15" hidden="false" customHeight="false" outlineLevel="0" collapsed="false">
      <c r="A17" s="3" t="n">
        <v>4</v>
      </c>
      <c r="B17" s="3" t="s">
        <v>14</v>
      </c>
      <c r="C17" s="4" t="s">
        <v>32</v>
      </c>
      <c r="D17" s="5" t="s">
        <v>11</v>
      </c>
      <c r="E17" s="3"/>
      <c r="F17" s="3"/>
      <c r="G17" s="4"/>
      <c r="H17" s="4"/>
    </row>
    <row r="18" customFormat="false" ht="15" hidden="false" customHeight="false" outlineLevel="0" collapsed="false">
      <c r="A18" s="3" t="n">
        <v>4</v>
      </c>
      <c r="B18" s="3" t="s">
        <v>18</v>
      </c>
      <c r="C18" s="4" t="s">
        <v>33</v>
      </c>
      <c r="D18" s="5" t="s">
        <v>11</v>
      </c>
      <c r="E18" s="3"/>
      <c r="F18" s="3"/>
      <c r="G18" s="4"/>
      <c r="H18" s="4"/>
    </row>
    <row r="19" customFormat="false" ht="15" hidden="false" customHeight="false" outlineLevel="0" collapsed="false">
      <c r="A19" s="3" t="n">
        <v>5</v>
      </c>
      <c r="B19" s="3" t="s">
        <v>34</v>
      </c>
      <c r="C19" s="4" t="s">
        <v>35</v>
      </c>
      <c r="D19" s="5" t="s">
        <v>11</v>
      </c>
      <c r="E19" s="3"/>
      <c r="F19" s="3"/>
      <c r="G19" s="4"/>
      <c r="H19" s="4" t="s">
        <v>36</v>
      </c>
    </row>
    <row r="20" customFormat="false" ht="15" hidden="false" customHeight="false" outlineLevel="0" collapsed="false">
      <c r="A20" s="3" t="n">
        <v>6</v>
      </c>
      <c r="B20" s="3" t="s">
        <v>37</v>
      </c>
      <c r="C20" s="4" t="s">
        <v>38</v>
      </c>
      <c r="D20" s="5" t="s">
        <v>11</v>
      </c>
      <c r="E20" s="3"/>
      <c r="F20" s="3"/>
      <c r="G20" s="4"/>
      <c r="H20" s="4"/>
    </row>
    <row r="21" customFormat="false" ht="15" hidden="false" customHeight="false" outlineLevel="0" collapsed="false">
      <c r="A21" s="3" t="n">
        <v>6</v>
      </c>
      <c r="B21" s="3" t="s">
        <v>18</v>
      </c>
      <c r="C21" s="4" t="s">
        <v>39</v>
      </c>
      <c r="D21" s="5" t="s">
        <v>11</v>
      </c>
      <c r="E21" s="3"/>
      <c r="F21" s="3"/>
      <c r="G21" s="4"/>
      <c r="H21" s="4" t="s">
        <v>40</v>
      </c>
    </row>
    <row r="22" customFormat="false" ht="15" hidden="false" customHeight="false" outlineLevel="0" collapsed="false">
      <c r="A22" s="3" t="n">
        <v>7</v>
      </c>
      <c r="B22" s="3" t="s">
        <v>34</v>
      </c>
      <c r="C22" s="4" t="s">
        <v>41</v>
      </c>
      <c r="D22" s="5" t="s">
        <v>11</v>
      </c>
      <c r="E22" s="3"/>
      <c r="F22" s="3"/>
      <c r="G22" s="4"/>
      <c r="H22" s="4"/>
    </row>
    <row r="23" customFormat="false" ht="15" hidden="false" customHeight="false" outlineLevel="0" collapsed="false">
      <c r="A23" s="3" t="n">
        <v>7</v>
      </c>
      <c r="B23" s="3" t="s">
        <v>34</v>
      </c>
      <c r="C23" s="4" t="s">
        <v>42</v>
      </c>
      <c r="D23" s="5" t="s">
        <v>11</v>
      </c>
      <c r="E23" s="3"/>
      <c r="F23" s="3"/>
      <c r="G23" s="4"/>
      <c r="H23" s="4"/>
    </row>
    <row r="24" customFormat="false" ht="15" hidden="false" customHeight="false" outlineLevel="0" collapsed="false">
      <c r="A24" s="3" t="n">
        <v>7</v>
      </c>
      <c r="B24" s="3" t="s">
        <v>34</v>
      </c>
      <c r="C24" s="4" t="s">
        <v>43</v>
      </c>
      <c r="D24" s="5" t="s">
        <v>11</v>
      </c>
      <c r="E24" s="3"/>
      <c r="F24" s="3"/>
      <c r="G24" s="4"/>
      <c r="H24" s="4"/>
    </row>
    <row r="25" customFormat="false" ht="15" hidden="false" customHeight="false" outlineLevel="0" collapsed="false">
      <c r="A25" s="3" t="n">
        <v>7</v>
      </c>
      <c r="B25" s="3" t="s">
        <v>34</v>
      </c>
      <c r="C25" s="4" t="s">
        <v>44</v>
      </c>
      <c r="D25" s="5" t="s">
        <v>11</v>
      </c>
      <c r="E25" s="3"/>
      <c r="F25" s="3"/>
      <c r="G25" s="4"/>
      <c r="H25" s="4" t="s">
        <v>45</v>
      </c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D4:D25" type="list">
      <formula1>"To Do,In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1" t="s">
        <v>46</v>
      </c>
      <c r="B1" s="1"/>
      <c r="C1" s="1"/>
      <c r="D1" s="1"/>
    </row>
    <row r="3" customFormat="false" ht="15" hidden="false" customHeight="false" outlineLevel="0" collapsed="false">
      <c r="A3" s="2" t="s">
        <v>47</v>
      </c>
      <c r="B3" s="2" t="s">
        <v>48</v>
      </c>
      <c r="C3" s="2" t="s">
        <v>49</v>
      </c>
      <c r="D3" s="2" t="s">
        <v>50</v>
      </c>
    </row>
    <row r="4" customFormat="false" ht="15" hidden="false" customHeight="false" outlineLevel="0" collapsed="false">
      <c r="A4" s="3" t="s">
        <v>9</v>
      </c>
      <c r="B4" s="3" t="s">
        <v>51</v>
      </c>
      <c r="C4" s="4" t="s">
        <v>52</v>
      </c>
      <c r="D4" s="3" t="n">
        <f aca="false">COUNTIF('Task Tracker'!B:B,"AI Eng 1")</f>
        <v>5</v>
      </c>
    </row>
    <row r="5" customFormat="false" ht="15" hidden="false" customHeight="false" outlineLevel="0" collapsed="false">
      <c r="A5" s="3" t="s">
        <v>14</v>
      </c>
      <c r="B5" s="3" t="s">
        <v>53</v>
      </c>
      <c r="C5" s="4" t="s">
        <v>54</v>
      </c>
      <c r="D5" s="3" t="n">
        <f aca="false">COUNTIF('Task Tracker'!B:B,"AI Eng 2")</f>
        <v>5</v>
      </c>
    </row>
    <row r="6" customFormat="false" ht="15" hidden="false" customHeight="false" outlineLevel="0" collapsed="false">
      <c r="A6" s="3" t="s">
        <v>18</v>
      </c>
      <c r="B6" s="3" t="s">
        <v>55</v>
      </c>
      <c r="C6" s="4" t="s">
        <v>56</v>
      </c>
      <c r="D6" s="3" t="n">
        <f aca="false">COUNTIF('Task Tracker'!B:B,"Software Eng")</f>
        <v>6</v>
      </c>
    </row>
    <row r="9" customFormat="false" ht="15" hidden="false" customHeight="false" outlineLevel="0" collapsed="false">
      <c r="A9" s="6" t="s">
        <v>57</v>
      </c>
    </row>
    <row r="10" customFormat="false" ht="15" hidden="false" customHeight="false" outlineLevel="0" collapsed="false">
      <c r="A10" s="7" t="s">
        <v>58</v>
      </c>
      <c r="B10" s="7" t="n">
        <f aca="false">COUNTA('Task Tracker'!C4:C26)</f>
        <v>22</v>
      </c>
    </row>
    <row r="11" customFormat="false" ht="15" hidden="false" customHeight="false" outlineLevel="0" collapsed="false">
      <c r="A11" s="7" t="s">
        <v>59</v>
      </c>
      <c r="B11" s="7" t="n">
        <f aca="false">COUNTIF('Task Tracker'!D4:D26,"Done")</f>
        <v>0</v>
      </c>
    </row>
    <row r="12" customFormat="false" ht="15" hidden="false" customHeight="false" outlineLevel="0" collapsed="false">
      <c r="A12" s="7" t="s">
        <v>60</v>
      </c>
      <c r="B12" s="7" t="n">
        <f aca="false">COUNTIF('Task Tracker'!D4:D26,"In Progress")</f>
        <v>0</v>
      </c>
    </row>
    <row r="13" customFormat="false" ht="15" hidden="false" customHeight="false" outlineLevel="0" collapsed="false">
      <c r="A13" s="7" t="s">
        <v>11</v>
      </c>
      <c r="B13" s="7" t="n">
        <f aca="false">COUNTIF('Task Tracker'!D4:D26,"To Do")</f>
        <v>22</v>
      </c>
    </row>
    <row r="14" customFormat="false" ht="15" hidden="false" customHeight="false" outlineLevel="0" collapsed="false">
      <c r="A14" s="7" t="s">
        <v>61</v>
      </c>
      <c r="B14" s="7" t="n">
        <f aca="false">COUNTIF('Task Tracker'!D4:D26,"Blocked")</f>
        <v>0</v>
      </c>
    </row>
    <row r="15" customFormat="false" ht="15" hidden="false" customHeight="false" outlineLevel="0" collapsed="false">
      <c r="A15" s="7" t="s">
        <v>62</v>
      </c>
      <c r="B15" s="8" t="n">
        <f aca="false">B12/B10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26"/>
  </cols>
  <sheetData>
    <row r="1" customFormat="false" ht="21.75" hidden="false" customHeight="true" outlineLevel="0" collapsed="false">
      <c r="A1" s="1" t="s">
        <v>63</v>
      </c>
      <c r="B1" s="1"/>
      <c r="C1" s="1"/>
      <c r="D1" s="1"/>
    </row>
    <row r="3" customFormat="false" ht="26.85" hidden="false" customHeight="false" outlineLevel="0" collapsed="false">
      <c r="A3" s="2" t="s">
        <v>64</v>
      </c>
      <c r="B3" s="2" t="s">
        <v>65</v>
      </c>
      <c r="C3" s="2" t="s">
        <v>66</v>
      </c>
      <c r="D3" s="2" t="s">
        <v>67</v>
      </c>
    </row>
    <row r="4" customFormat="false" ht="23.85" hidden="false" customHeight="false" outlineLevel="0" collapsed="false">
      <c r="A4" s="4" t="s">
        <v>68</v>
      </c>
      <c r="B4" s="4" t="s">
        <v>69</v>
      </c>
      <c r="C4" s="4" t="s">
        <v>70</v>
      </c>
      <c r="D4" s="4"/>
    </row>
    <row r="5" customFormat="false" ht="23.85" hidden="false" customHeight="false" outlineLevel="0" collapsed="false">
      <c r="A5" s="4" t="s">
        <v>71</v>
      </c>
      <c r="B5" s="4" t="s">
        <v>72</v>
      </c>
      <c r="C5" s="4" t="s">
        <v>70</v>
      </c>
      <c r="D5" s="4"/>
    </row>
    <row r="6" customFormat="false" ht="15" hidden="false" customHeight="false" outlineLevel="0" collapsed="false">
      <c r="A6" s="4" t="s">
        <v>73</v>
      </c>
      <c r="B6" s="4" t="s">
        <v>74</v>
      </c>
      <c r="C6" s="4" t="s">
        <v>70</v>
      </c>
      <c r="D6" s="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2026-07-07T15:26:14Z</dcterms:created>
  <dc:creator>openpyxl</dc:creator>
  <dc:description/>
  <dc:language>en-US</dc:language>
  <cp:lastModifiedBy/>
  <dcterms:modified xsi:type="dcterms:W3CDTF">2026-07-07T15:26:14Z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